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1500" sheetId="1" state="visible" r:id="rId1"/>
    <sheet xmlns:r="http://schemas.openxmlformats.org/officeDocument/2006/relationships" name="1700" sheetId="2" state="visible" r:id="rId2"/>
    <sheet xmlns:r="http://schemas.openxmlformats.org/officeDocument/2006/relationships" name="2200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P meca, </a:t>
            </a:r>
          </a:p>
          <a:p xmlns:a="http://schemas.openxmlformats.org/drawingml/2006/main">
            <a:pPr>
              <a:defRPr/>
            </a:pPr>
            <a:r>
              <a:rPr lang="en-US" sz="1000"/>
              <a:t>N=1500tr/min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v>P meca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'1500'!$B$7:$B$13</f>
              <numCache>
                <formatCode>General</formatCode>
                <ptCount val="7"/>
                <pt idx="0">
                  <v>455</v>
                </pt>
                <pt idx="1">
                  <v>470</v>
                </pt>
                <pt idx="2">
                  <v>490</v>
                </pt>
                <pt idx="3">
                  <v>500</v>
                </pt>
                <pt idx="4">
                  <v>510</v>
                </pt>
                <pt idx="5">
                  <v>520</v>
                </pt>
                <pt idx="6">
                  <v>550</v>
                </pt>
              </numCache>
            </numRef>
          </xVal>
          <yVal>
            <numRef>
              <f>'1500'!$E$7:$E$13</f>
              <numCache>
                <formatCode>General</formatCode>
                <ptCount val="7"/>
                <pt idx="0">
                  <v>1.47</v>
                </pt>
                <pt idx="1">
                  <v>1.86</v>
                </pt>
                <pt idx="2">
                  <v>2.402</v>
                </pt>
                <pt idx="3">
                  <v>2.68</v>
                </pt>
                <pt idx="4">
                  <v>2.968</v>
                </pt>
                <pt idx="5">
                  <v>3.26</v>
                </pt>
                <pt idx="6">
                  <v>4.173</v>
                </pt>
              </numCache>
            </numRef>
          </yVal>
          <smooth val="0"/>
        </ser>
        <dLbls>
          <dLblPos val="r"/>
          <showLegendKey val="0"/>
          <showVal val="0"/>
          <showCatName val="0"/>
          <showSerName val="0"/>
          <showPercent val="0"/>
          <showBubbleSize val="0"/>
        </dLbls>
        <axId val="104518400"/>
        <axId val="104519936"/>
      </scatterChart>
      <valAx>
        <axId val="104518400"/>
        <scaling>
          <orientation val="minMax"/>
          <min val="400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qv</a:t>
                </a:r>
                <a:r>
                  <a:rPr lang="fr-FR" baseline="0"/>
                  <a:t xml:space="preserve"> (m^3/h)</a:t>
                </a:r>
                <a:endParaRPr lang="fr-FR"/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crossAx val="104519936"/>
        <crosses val="autoZero"/>
        <crossBetween val="midCat"/>
      </valAx>
      <valAx>
        <axId val="104519936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Pu (kW)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crossAx val="104518400"/>
        <crosses val="autoZero"/>
        <crossBetween val="midCat"/>
      </valAx>
    </plotArea>
    <legend>
      <legendPos val="r"/>
      <layout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plotArea>
      <layout/>
      <scatterChart>
        <scatterStyle val="lineMarker"/>
        <varyColors val="0"/>
        <ser>
          <idx val="1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'1500'!$B$7:$B$13</f>
              <numCache>
                <formatCode>General</formatCode>
                <ptCount val="7"/>
                <pt idx="0">
                  <v>455</v>
                </pt>
                <pt idx="1">
                  <v>470</v>
                </pt>
                <pt idx="2">
                  <v>490</v>
                </pt>
                <pt idx="3">
                  <v>500</v>
                </pt>
                <pt idx="4">
                  <v>510</v>
                </pt>
                <pt idx="5">
                  <v>520</v>
                </pt>
                <pt idx="6">
                  <v>550</v>
                </pt>
              </numCache>
            </numRef>
          </xVal>
          <yVal>
            <numRef>
              <f>'1500'!$F$7:$F$13</f>
              <numCache>
                <formatCode>General</formatCode>
                <ptCount val="7"/>
                <pt idx="0">
                  <v>60.2</v>
                </pt>
                <pt idx="1">
                  <v>62.5</v>
                </pt>
                <pt idx="2">
                  <v>63.87</v>
                </pt>
                <pt idx="3">
                  <v>64</v>
                </pt>
                <pt idx="4">
                  <v>64</v>
                </pt>
                <pt idx="5">
                  <v>63.85</v>
                </pt>
                <pt idx="6">
                  <v>62.8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1267200"/>
        <axId val="41268736"/>
      </scatterChart>
      <valAx>
        <axId val="41267200"/>
        <scaling>
          <orientation val="minMax"/>
          <min val="400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qv(m^3/h)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crossAx val="41268736"/>
        <crosses val="autoZero"/>
        <crossBetween val="midCat"/>
      </valAx>
      <valAx>
        <axId val="41268736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l-GR"/>
                  <a:t>η</a:t>
                </a:r>
                <a:endParaRPr lang="fr-FR"/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crossAx val="41267200"/>
        <crosses val="autoZero"/>
        <crossBetween val="midCat"/>
      </valAx>
    </plotArea>
    <legend>
      <legendPos val="r"/>
      <layout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Hauteur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'1500'!$B$7:$B$13</f>
              <numCache>
                <formatCode>General</formatCode>
                <ptCount val="7"/>
                <pt idx="0">
                  <v>455</v>
                </pt>
                <pt idx="1">
                  <v>470</v>
                </pt>
                <pt idx="2">
                  <v>490</v>
                </pt>
                <pt idx="3">
                  <v>500</v>
                </pt>
                <pt idx="4">
                  <v>510</v>
                </pt>
                <pt idx="5">
                  <v>520</v>
                </pt>
                <pt idx="6">
                  <v>550</v>
                </pt>
              </numCache>
            </numRef>
          </xVal>
          <yVal>
            <numRef>
              <f>'1500'!$D$7:$D$13</f>
              <numCache>
                <formatCode>0.00E+00</formatCode>
                <ptCount val="7"/>
                <pt idx="0">
                  <v>1.967380224260958</v>
                </pt>
                <pt idx="1">
                  <v>2.324159021406728</v>
                </pt>
                <pt idx="2">
                  <v>2.833843017329256</v>
                </pt>
                <pt idx="3">
                  <v>3.068297655453619</v>
                </pt>
                <pt idx="4">
                  <v>3.337410805300713</v>
                </pt>
                <pt idx="5">
                  <v>3.608562691131498</v>
                </pt>
                <pt idx="6">
                  <v>4.444444444444445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4274688"/>
        <axId val="115517696"/>
      </scatterChart>
      <valAx>
        <axId val="54274688"/>
        <scaling>
          <orientation val="minMax"/>
          <min val="400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qv(m^3/h)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124385389326334"/>
              <y val="0.8591126915587165"/>
            </manualLayout>
          </layout>
          <overlay val="0"/>
        </title>
        <numFmt formatCode="General" sourceLinked="1"/>
        <majorTickMark val="none"/>
        <minorTickMark val="none"/>
        <tickLblPos val="nextTo"/>
        <crossAx val="115517696"/>
        <crosses val="autoZero"/>
        <crossBetween val="midCat"/>
      </valAx>
      <valAx>
        <axId val="115517696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H(m)</a:t>
                </a:r>
              </a:p>
            </rich>
          </tx>
          <layout/>
          <overlay val="0"/>
        </title>
        <numFmt formatCode="0.00E+00" sourceLinked="1"/>
        <majorTickMark val="none"/>
        <minorTickMark val="none"/>
        <tickLblPos val="nextTo"/>
        <crossAx val="54274688"/>
        <crosses val="autoZero"/>
        <crossBetween val="midCat"/>
      </valAx>
    </plotArea>
    <legend>
      <legendPos val="r"/>
      <layout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6</col>
      <colOff>114300</colOff>
      <row>2</row>
      <rowOff>4762</rowOff>
    </from>
    <to>
      <col>13</col>
      <colOff>419100</colOff>
      <row>14</row>
      <rowOff>80962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57150</colOff>
      <row>14</row>
      <rowOff>152400</rowOff>
    </from>
    <to>
      <col>13</col>
      <colOff>361950</colOff>
      <row>27</row>
      <rowOff>38100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13</col>
      <colOff>552450</colOff>
      <row>2</row>
      <rowOff>9525</rowOff>
    </from>
    <to>
      <col>21</col>
      <colOff>247650</colOff>
      <row>14</row>
      <rowOff>85725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T43"/>
  <sheetViews>
    <sheetView tabSelected="1" workbookViewId="0">
      <selection activeCell="Y40" sqref="Y40"/>
    </sheetView>
  </sheetViews>
  <sheetFormatPr baseColWidth="10" defaultColWidth="9.140625" defaultRowHeight="15"/>
  <sheetData>
    <row r="4">
      <c r="A4" t="inlineStr">
        <is>
          <t>N</t>
        </is>
      </c>
    </row>
    <row r="5">
      <c r="A5" t="n">
        <v>1500</v>
      </c>
    </row>
    <row r="6">
      <c r="B6" t="inlineStr">
        <is>
          <t>qv</t>
        </is>
      </c>
      <c r="C6" t="inlineStr">
        <is>
          <t>dP</t>
        </is>
      </c>
      <c r="D6" t="inlineStr">
        <is>
          <t>dH</t>
        </is>
      </c>
      <c r="E6" t="inlineStr">
        <is>
          <t>P_mec</t>
        </is>
      </c>
      <c r="F6" t="inlineStr">
        <is>
          <t>Eta</t>
        </is>
      </c>
    </row>
    <row r="7">
      <c r="B7" t="n">
        <v>455</v>
      </c>
      <c r="C7" s="1" t="n">
        <v>19300</v>
      </c>
      <c r="D7" s="1" t="n">
        <v>1.967380224260958</v>
      </c>
      <c r="E7" t="n">
        <v>1.47</v>
      </c>
      <c r="F7" t="n">
        <v>60.2</v>
      </c>
    </row>
    <row r="8">
      <c r="B8" t="n">
        <v>470</v>
      </c>
      <c r="C8" s="1" t="n">
        <v>22800</v>
      </c>
      <c r="D8" s="1" t="n">
        <v>2.324159021406728</v>
      </c>
      <c r="E8" t="n">
        <v>1.86</v>
      </c>
      <c r="F8" t="n">
        <v>62.5</v>
      </c>
    </row>
    <row r="9">
      <c r="B9" t="n">
        <v>490</v>
      </c>
      <c r="C9" s="1" t="n">
        <v>27800</v>
      </c>
      <c r="D9" s="1" t="n">
        <v>2.833843017329256</v>
      </c>
      <c r="E9" t="n">
        <v>2.402</v>
      </c>
      <c r="F9" t="n">
        <v>63.87</v>
      </c>
    </row>
    <row r="10">
      <c r="B10" t="n">
        <v>500</v>
      </c>
      <c r="C10" s="1" t="n">
        <v>30100</v>
      </c>
      <c r="D10" s="1" t="n">
        <v>3.068297655453619</v>
      </c>
      <c r="E10" t="n">
        <v>2.68</v>
      </c>
      <c r="F10" t="n">
        <v>64</v>
      </c>
    </row>
    <row r="11">
      <c r="B11" t="n">
        <v>510</v>
      </c>
      <c r="C11" s="1" t="n">
        <v>32740</v>
      </c>
      <c r="D11" s="1" t="n">
        <v>3.337410805300713</v>
      </c>
      <c r="E11" t="n">
        <v>2.968</v>
      </c>
      <c r="F11" t="n">
        <v>64</v>
      </c>
    </row>
    <row r="12">
      <c r="B12" t="n">
        <v>520</v>
      </c>
      <c r="C12" s="1" t="n">
        <v>35400</v>
      </c>
      <c r="D12" s="1" t="n">
        <v>3.608562691131498</v>
      </c>
      <c r="E12" t="n">
        <v>3.26</v>
      </c>
      <c r="F12" t="n">
        <v>63.85</v>
      </c>
    </row>
    <row r="13">
      <c r="B13" t="n">
        <v>550</v>
      </c>
      <c r="C13" s="1" t="n">
        <v>43600</v>
      </c>
      <c r="D13" s="1" t="n">
        <v>4.444444444444445</v>
      </c>
      <c r="E13" t="n">
        <v>4.173</v>
      </c>
      <c r="F13" t="n">
        <v>62.8</v>
      </c>
    </row>
    <row r="19">
      <c r="P19" t="inlineStr">
        <is>
          <t xml:space="preserve">d’où </t>
        </is>
      </c>
      <c r="Q19" t="inlineStr">
        <is>
          <t>qvn1=</t>
        </is>
      </c>
      <c r="R19" t="n">
        <v>0.1388888888888889</v>
      </c>
    </row>
    <row r="20">
      <c r="C20" s="1" t="n"/>
      <c r="D20" s="1" t="n"/>
      <c r="Q20" t="inlineStr">
        <is>
          <t>Hn1=</t>
        </is>
      </c>
      <c r="R20" t="n">
        <v>3.07</v>
      </c>
    </row>
    <row r="21">
      <c r="C21" s="1" t="n"/>
      <c r="D21" s="1" t="n"/>
      <c r="Q21" t="inlineStr">
        <is>
          <t>Pn1=</t>
        </is>
      </c>
      <c r="R21" t="n">
        <v>2680</v>
      </c>
    </row>
    <row r="22">
      <c r="C22" s="1" t="n"/>
      <c r="D22" s="1" t="n"/>
    </row>
    <row r="23">
      <c r="C23" s="1" t="n"/>
      <c r="D23" s="1" t="n"/>
      <c r="S23" t="inlineStr">
        <is>
          <t>N2</t>
        </is>
      </c>
      <c r="T23" t="n">
        <v>1732.050807568877</v>
      </c>
    </row>
    <row r="24">
      <c r="C24" s="1" t="n"/>
      <c r="D24" s="1" t="n"/>
    </row>
    <row r="25">
      <c r="C25" s="1" t="n"/>
      <c r="D25" s="1" t="n"/>
      <c r="Q25" t="inlineStr">
        <is>
          <t>qv</t>
        </is>
      </c>
      <c r="S25" t="inlineStr">
        <is>
          <t>qv2</t>
        </is>
      </c>
      <c r="T25" t="n">
        <v>577.3502691896257</v>
      </c>
    </row>
    <row r="26">
      <c r="C26" s="1" t="n"/>
      <c r="D26" s="1" t="n"/>
    </row>
    <row r="27">
      <c r="C27" s="1" t="n"/>
      <c r="D27" s="1" t="n"/>
    </row>
    <row r="36">
      <c r="C36" s="1" t="n"/>
      <c r="D36" s="1" t="n"/>
    </row>
    <row r="37">
      <c r="C37" s="1" t="n"/>
      <c r="D37" s="1" t="n"/>
    </row>
    <row r="38">
      <c r="C38" s="1" t="n"/>
      <c r="D38" s="1" t="n"/>
    </row>
    <row r="39">
      <c r="C39" s="1" t="n"/>
      <c r="D39" s="1" t="n"/>
    </row>
    <row r="40">
      <c r="C40" s="1" t="n"/>
      <c r="D40" s="1" t="n"/>
    </row>
    <row r="41">
      <c r="C41" s="1" t="n"/>
      <c r="D41" s="1" t="n"/>
    </row>
    <row r="42">
      <c r="C42" s="1" t="n"/>
      <c r="D42" s="1" t="n"/>
    </row>
    <row r="43">
      <c r="C43" s="1" t="n"/>
      <c r="D43" s="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D39" sqref="D39"/>
    </sheetView>
  </sheetViews>
  <sheetFormatPr baseColWidth="10" defaultColWidth="9.140625" defaultRowHeight="15"/>
  <sheetData>
    <row r="1">
      <c r="A1" t="inlineStr">
        <is>
          <t>N</t>
        </is>
      </c>
    </row>
    <row r="2">
      <c r="A2" t="n">
        <v>1700</v>
      </c>
    </row>
    <row r="3">
      <c r="B3" t="inlineStr">
        <is>
          <t>qv</t>
        </is>
      </c>
      <c r="C3" t="inlineStr">
        <is>
          <t>dP</t>
        </is>
      </c>
      <c r="D3" t="inlineStr">
        <is>
          <t>dH</t>
        </is>
      </c>
      <c r="E3" t="inlineStr">
        <is>
          <t>P_mec</t>
        </is>
      </c>
      <c r="F3" t="inlineStr">
        <is>
          <t>Eta</t>
        </is>
      </c>
    </row>
    <row r="4">
      <c r="C4" s="1" t="n"/>
      <c r="D4" s="1" t="n"/>
    </row>
    <row r="5">
      <c r="C5" s="1" t="n"/>
      <c r="D5" s="1" t="n"/>
    </row>
    <row r="6">
      <c r="B6" t="n">
        <v>520</v>
      </c>
      <c r="C6" s="1" t="n">
        <v>25900</v>
      </c>
      <c r="D6" s="1" t="n"/>
      <c r="E6" t="n">
        <v>2960</v>
      </c>
      <c r="F6" t="n">
        <v>61.4</v>
      </c>
    </row>
    <row r="7">
      <c r="B7" t="n">
        <v>550</v>
      </c>
      <c r="C7" s="1" t="n">
        <v>33900</v>
      </c>
      <c r="D7" s="1" t="n">
        <v>3.45565749235474</v>
      </c>
      <c r="E7" t="n">
        <v>3320</v>
      </c>
      <c r="F7" t="n">
        <v>64</v>
      </c>
    </row>
    <row r="8">
      <c r="B8" t="n">
        <v>560</v>
      </c>
      <c r="C8" s="1" t="n">
        <v>36700</v>
      </c>
      <c r="D8" s="1" t="n">
        <v>3.741080530071356</v>
      </c>
      <c r="E8" t="n">
        <v>3678</v>
      </c>
      <c r="F8" t="n">
        <v>64.3</v>
      </c>
    </row>
    <row r="9">
      <c r="B9" t="n">
        <v>580</v>
      </c>
      <c r="C9" s="1" t="n">
        <v>42600</v>
      </c>
      <c r="D9" s="1" t="n">
        <v>4.342507645259939</v>
      </c>
      <c r="E9" t="n">
        <v>4410</v>
      </c>
      <c r="F9" t="n">
        <v>64.3</v>
      </c>
    </row>
    <row r="10">
      <c r="B10" t="n">
        <v>600</v>
      </c>
      <c r="C10" s="1" t="n">
        <v>48600</v>
      </c>
      <c r="D10" s="1" t="n">
        <v>4.954128440366972</v>
      </c>
      <c r="E10" t="n">
        <v>5170</v>
      </c>
      <c r="F10" t="n">
        <v>63.8</v>
      </c>
    </row>
    <row r="11">
      <c r="B11" t="n">
        <v>640</v>
      </c>
      <c r="C11" s="1" t="n">
        <v>61000</v>
      </c>
      <c r="D11" s="1" t="n">
        <v>6.218144750254842</v>
      </c>
      <c r="E11" t="n">
        <v>6770</v>
      </c>
      <c r="F11" t="n">
        <v>62.3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D32" sqref="D32"/>
    </sheetView>
  </sheetViews>
  <sheetFormatPr baseColWidth="10" defaultColWidth="9.140625" defaultRowHeight="15"/>
  <sheetData>
    <row r="1">
      <c r="A1" t="inlineStr">
        <is>
          <t>N</t>
        </is>
      </c>
    </row>
    <row r="2">
      <c r="A2" t="n">
        <v>2200</v>
      </c>
    </row>
    <row r="3">
      <c r="B3" t="inlineStr">
        <is>
          <t>qv</t>
        </is>
      </c>
      <c r="C3" t="inlineStr">
        <is>
          <t>dP</t>
        </is>
      </c>
      <c r="D3" t="inlineStr">
        <is>
          <t>dH</t>
        </is>
      </c>
      <c r="E3" t="inlineStr">
        <is>
          <t>P_mec</t>
        </is>
      </c>
      <c r="F3" t="inlineStr">
        <is>
          <t>Eta</t>
        </is>
      </c>
    </row>
    <row r="4">
      <c r="C4" s="1" t="n"/>
      <c r="D4" s="1" t="n"/>
    </row>
    <row r="5">
      <c r="C5" s="1" t="n"/>
      <c r="D5" s="1" t="n"/>
    </row>
    <row r="6">
      <c r="C6" s="1" t="n"/>
      <c r="D6" s="1" t="n"/>
    </row>
    <row r="7">
      <c r="B7" t="n">
        <v>650</v>
      </c>
      <c r="C7" s="1" t="n"/>
      <c r="D7" s="1" t="n"/>
      <c r="F7" t="n">
        <v>58.7</v>
      </c>
    </row>
    <row r="8">
      <c r="B8" t="n">
        <v>720</v>
      </c>
      <c r="C8" s="1" t="n">
        <v>59800</v>
      </c>
      <c r="D8" s="1" t="n">
        <v>6.095820591233434</v>
      </c>
      <c r="E8" t="n">
        <v>7750</v>
      </c>
      <c r="F8" t="n">
        <v>64.8</v>
      </c>
    </row>
    <row r="9">
      <c r="B9" t="n">
        <v>760</v>
      </c>
      <c r="C9" s="1" t="n">
        <v>74900</v>
      </c>
      <c r="D9" s="1" t="n">
        <v>7.63506625891947</v>
      </c>
      <c r="E9" t="n">
        <v>10220</v>
      </c>
      <c r="F9" t="n">
        <v>64.59999999999999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2026-07-05T17:17:22Z</dcterms:modified>
</cp:coreProperties>
</file>